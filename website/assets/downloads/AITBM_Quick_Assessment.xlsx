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ic" sheetId="1" state="visible" r:id="rId1"/>
    <sheet xmlns:r="http://schemas.openxmlformats.org/officeDocument/2006/relationships" name="Agentic Engine" sheetId="2" state="hidden" r:id="rId2"/>
    <sheet xmlns:r="http://schemas.openxmlformats.org/officeDocument/2006/relationships" name="RAG" sheetId="3" state="visible" r:id="rId3"/>
    <sheet xmlns:r="http://schemas.openxmlformats.org/officeDocument/2006/relationships" name="RAG Engine" sheetId="4" state="hidden" r:id="rId4"/>
    <sheet xmlns:r="http://schemas.openxmlformats.org/officeDocument/2006/relationships" name="Standalone" sheetId="5" state="visible" r:id="rId5"/>
    <sheet xmlns:r="http://schemas.openxmlformats.org/officeDocument/2006/relationships" name="Standalone Engine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color rgb="00555555"/>
      <sz val="9"/>
    </font>
    <font>
      <name val="Arial"/>
      <b val="1"/>
      <color rgb="00FFFFFF"/>
      <sz val="12"/>
    </font>
    <font>
      <name val="Arial"/>
      <color rgb="00222222"/>
      <sz val="10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1F3864"/>
      <sz val="14"/>
    </font>
    <font>
      <name val="Arial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" customWidth="1" min="1" max="1"/>
    <col width="78" customWidth="1" min="2" max="2"/>
    <col width="10" customWidth="1" min="3" max="3"/>
    <col width="18" customWidth="1" min="4" max="4"/>
  </cols>
  <sheetData>
    <row r="1">
      <c r="A1" s="1" t="inlineStr">
        <is>
          <t>AITBM — Quick AI Risk Self-Assessment — Agentic / MCP</t>
        </is>
      </c>
    </row>
    <row r="2" ht="42" customHeight="1">
      <c r="A2" s="2" t="inlineStr">
        <is>
          <t>Scenario: Agentic / MCP. Answer Yes or No in column C; the Effective Risk Score (ERS) updates automatically. The Agentic / RAG / Standalone tabs each carry questions tailored to that architecture. Educational estimate; see the AITBM Framework Specification for assessments of record.</t>
        </is>
      </c>
    </row>
    <row r="4">
      <c r="A4" s="3" t="inlineStr">
        <is>
          <t>A</t>
        </is>
      </c>
      <c r="B4" s="3" t="inlineStr">
        <is>
          <t>About your system — A few questions about what your AI agent does and where it runs.</t>
        </is>
      </c>
      <c r="C4" s="3" t="n"/>
      <c r="D4" s="3" t="n"/>
    </row>
    <row r="5" ht="28" customHeight="1">
      <c r="B5" s="4" t="inlineStr">
        <is>
          <t>Can the agent take actions or make decisions on its own, without a person approving each step?</t>
        </is>
      </c>
      <c r="C5" s="5" t="inlineStr">
        <is>
          <t>No</t>
        </is>
      </c>
    </row>
    <row r="6" ht="28" customHeight="1">
      <c r="B6" s="4" t="inlineStr">
        <is>
          <t>Can it reach untrusted input — the public internet, external tools/APIs, or third-party content?</t>
        </is>
      </c>
      <c r="C6" s="5" t="inlineStr">
        <is>
          <t>No</t>
        </is>
      </c>
    </row>
    <row r="7" ht="28" customHeight="1">
      <c r="B7" s="4" t="inlineStr">
        <is>
          <t>Could a wrong action cause serious harm — money moved, data changed, safety, or many systems affected?</t>
        </is>
      </c>
      <c r="C7" s="5" t="inlineStr">
        <is>
          <t>No</t>
        </is>
      </c>
    </row>
    <row r="8" ht="28" customHeight="1">
      <c r="B8" s="4" t="inlineStr">
        <is>
          <t>Would a bad action be slow or hard to undo (no kill-switch, no quick rollback, vendor lock-in)?</t>
        </is>
      </c>
      <c r="C8" s="5" t="inlineStr">
        <is>
          <t>No</t>
        </is>
      </c>
    </row>
    <row r="10">
      <c r="A10" s="3" t="inlineStr">
        <is>
          <t>B</t>
        </is>
      </c>
      <c r="B10" s="3" t="inlineStr">
        <is>
          <t>Safeguards in place — Answer Yes only for protections you have actually implemented.</t>
        </is>
      </c>
      <c r="C10" s="3" t="n"/>
      <c r="D10" s="3" t="inlineStr">
        <is>
          <t>Points you could save</t>
        </is>
      </c>
    </row>
    <row r="11" ht="28" customHeight="1">
      <c r="B11" s="4" t="inlineStr">
        <is>
          <t>Is the agent restricted to least-privilege — limited actions, tools, and systems it can reach?</t>
        </is>
      </c>
      <c r="C11" s="5" t="inlineStr">
        <is>
          <t>No</t>
        </is>
      </c>
      <c r="D11" s="6">
        <f>IF('Agentic'!$C$11="Yes","",ROUND('Agentic Engine'!B49,1))</f>
        <v/>
      </c>
    </row>
    <row r="12" ht="28" customHeight="1">
      <c r="B12" s="4" t="inlineStr">
        <is>
          <t>Does a human review or approve the agent's high-impact actions before they take effect?</t>
        </is>
      </c>
      <c r="C12" s="5" t="inlineStr">
        <is>
          <t>No</t>
        </is>
      </c>
      <c r="D12" s="6">
        <f>IF('Agentic'!$C$12="Yes","",ROUND('Agentic Engine'!B50,1))</f>
        <v/>
      </c>
    </row>
    <row r="13" ht="28" customHeight="1">
      <c r="B13" s="4" t="inlineStr">
        <is>
          <t>Do you verify each agent's identity and monitor agent behavior for anomalies?</t>
        </is>
      </c>
      <c r="C13" s="5" t="inlineStr">
        <is>
          <t>No</t>
        </is>
      </c>
      <c r="D13" s="6">
        <f>IF('Agentic'!$C$13="Yes","",ROUND('Agentic Engine'!B51,1))</f>
        <v/>
      </c>
    </row>
    <row r="14" ht="28" customHeight="1">
      <c r="B14" s="4" t="inlineStr">
        <is>
          <t>Do you control which tools/skills the agent may use, and route its calls through a vetted gateway?</t>
        </is>
      </c>
      <c r="C14" s="5" t="inlineStr">
        <is>
          <t>No</t>
        </is>
      </c>
      <c r="D14" s="6">
        <f>IF('Agentic'!$C$14="Yes","",ROUND('Agentic Engine'!B52,1))</f>
        <v/>
      </c>
    </row>
    <row r="15" ht="28" customHeight="1">
      <c r="B15" s="4" t="inlineStr">
        <is>
          <t>Is the agent sandboxed and network-segmented away from sensitive systems?</t>
        </is>
      </c>
      <c r="C15" s="5" t="inlineStr">
        <is>
          <t>No</t>
        </is>
      </c>
      <c r="D15" s="6">
        <f>IF('Agentic'!$C$15="Yes","",ROUND('Agentic Engine'!B53,1))</f>
        <v/>
      </c>
    </row>
    <row r="16" ht="28" customHeight="1">
      <c r="B16" s="4" t="inlineStr">
        <is>
          <t>Do you filter and validate both the inputs the agent receives and the outputs/actions it produces?</t>
        </is>
      </c>
      <c r="C16" s="5" t="inlineStr">
        <is>
          <t>No</t>
        </is>
      </c>
      <c r="D16" s="6">
        <f>IF('Agentic'!$C$16="Yes","",ROUND('Agentic Engine'!B54,1))</f>
        <v/>
      </c>
    </row>
    <row r="17" ht="28" customHeight="1">
      <c r="B17" s="4" t="inlineStr">
        <is>
          <t>Do you have real-time detection for prompt injection, tool abuse, or abnormal agent behavior?</t>
        </is>
      </c>
      <c r="C17" s="5" t="inlineStr">
        <is>
          <t>No</t>
        </is>
      </c>
      <c r="D17" s="6">
        <f>IF('Agentic'!$C$17="Yes","",ROUND('Agentic Engine'!B55,1))</f>
        <v/>
      </c>
    </row>
    <row r="18" ht="28" customHeight="1">
      <c r="B18" s="4" t="inlineStr">
        <is>
          <t>Do you track the agent's tools/model/data provenance (inventory, lineage) and document expected behavior?</t>
        </is>
      </c>
      <c r="C18" s="5" t="inlineStr">
        <is>
          <t>No</t>
        </is>
      </c>
      <c r="D18" s="6">
        <f>IF('Agentic'!$C$18="Yes","",ROUND('Agentic Engine'!B56,1))</f>
        <v/>
      </c>
    </row>
    <row r="20">
      <c r="A20" s="3" t="inlineStr">
        <is>
          <t>C</t>
        </is>
      </c>
      <c r="B20" s="3" t="inlineStr">
        <is>
          <t>Evidence &amp; assurance — How well the system's security is documented and tested.</t>
        </is>
      </c>
      <c r="C20" s="3" t="n"/>
      <c r="D20" s="3" t="n"/>
    </row>
    <row r="21" ht="28" customHeight="1">
      <c r="B21" s="4" t="inlineStr">
        <is>
          <t>Do you have an AIBOM / model card AND an inventory of the agent's tools and their sources?</t>
        </is>
      </c>
      <c r="C21" s="5" t="inlineStr">
        <is>
          <t>No</t>
        </is>
      </c>
    </row>
    <row r="22" ht="28" customHeight="1">
      <c r="B22" s="4" t="inlineStr">
        <is>
          <t>Have you red-teamed the agent (tool abuse, prompt injection, privilege escalation)?</t>
        </is>
      </c>
      <c r="C22" s="5" t="inlineStr">
        <is>
          <t>No</t>
        </is>
      </c>
    </row>
    <row r="23" ht="28" customHeight="1">
      <c r="B23" s="4" t="inlineStr">
        <is>
          <t>Was that testing recent (within ~12 months) and repeated after changes to tools or prompts?</t>
        </is>
      </c>
      <c r="C23" s="5" t="inlineStr">
        <is>
          <t>No</t>
        </is>
      </c>
    </row>
    <row r="26">
      <c r="A26" s="3" t="inlineStr">
        <is>
          <t>RESULT</t>
        </is>
      </c>
      <c r="B26" s="3" t="n"/>
      <c r="C26" s="3" t="n"/>
      <c r="D26" s="3" t="n"/>
    </row>
    <row r="27">
      <c r="B27" s="7" t="inlineStr">
        <is>
          <t>Effective Risk Score (ERS)</t>
        </is>
      </c>
      <c r="C27" s="8">
        <f>ROUND('Agentic Engine'!B46,1)</f>
        <v/>
      </c>
    </row>
    <row r="28">
      <c r="B28" s="9" t="inlineStr">
        <is>
          <t>Severity</t>
        </is>
      </c>
      <c r="C28">
        <f>IF('Agentic Engine'!B46&gt;=9,"Critical",IF('Agentic Engine'!B46&gt;=7,"High",IF('Agentic Engine'!B46&gt;=5,"Moderate",IF('Agentic Engine'!B46&gt;=3,"Low-Moderate","Low"))))</f>
        <v/>
      </c>
    </row>
    <row r="29">
      <c r="B29" s="9" t="inlineStr">
        <is>
          <t>Scenario</t>
        </is>
      </c>
      <c r="C29" s="10" t="inlineStr">
        <is>
          <t>Agentic / MCP</t>
        </is>
      </c>
    </row>
  </sheetData>
  <mergeCells count="2">
    <mergeCell ref="A1:D1"/>
    <mergeCell ref="A2:D2"/>
  </mergeCells>
  <dataValidations count="1">
    <dataValidation sqref="C5 C6 C7 C8 C11 C12 C13 C14 C15 C16 C17 C18 C21 C22 C23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axis</t>
        </is>
      </c>
      <c r="C1" t="inlineStr">
        <is>
          <t>base</t>
        </is>
      </c>
      <c r="D1" t="inlineStr">
        <is>
          <t>value</t>
        </is>
      </c>
    </row>
    <row r="2">
      <c r="A2" t="inlineStr">
        <is>
          <t>Ro-1</t>
        </is>
      </c>
      <c r="B2" t="inlineStr">
        <is>
          <t>Ro</t>
        </is>
      </c>
      <c r="C2" t="n">
        <v>0.2</v>
      </c>
      <c r="D2">
        <f>MAX(C2,IF('Agentic'!$C$16="Yes",0.65,0),IF('Agentic'!$C$17="Yes",0.75,0))</f>
        <v/>
      </c>
    </row>
    <row r="3">
      <c r="A3" t="inlineStr">
        <is>
          <t>Ro-2</t>
        </is>
      </c>
      <c r="B3" t="inlineStr">
        <is>
          <t>Ro</t>
        </is>
      </c>
      <c r="C3" t="n">
        <v>0.5</v>
      </c>
      <c r="D3">
        <f>MAX(C3)</f>
        <v/>
      </c>
    </row>
    <row r="4">
      <c r="A4" t="inlineStr">
        <is>
          <t>Ro-3</t>
        </is>
      </c>
      <c r="B4" t="inlineStr">
        <is>
          <t>Ro</t>
        </is>
      </c>
      <c r="C4" t="n">
        <v>0.25</v>
      </c>
      <c r="D4">
        <f>MAX(C4,IF('Agentic'!$C$17="Yes",0.65,0),IF('Agentic'!$C$18="Yes",0.7,0))</f>
        <v/>
      </c>
    </row>
    <row r="5">
      <c r="A5" t="inlineStr">
        <is>
          <t>Ro-4</t>
        </is>
      </c>
      <c r="B5" t="inlineStr">
        <is>
          <t>Ro</t>
        </is>
      </c>
      <c r="C5" t="n">
        <v>0.15</v>
      </c>
      <c r="D5">
        <f>MAX(C5,IF('Agentic'!$C$14="Yes",0.55,0),IF('Agentic'!$C$17="Yes",0.55,0),IF('Agentic'!$C$18="Yes",0.7,0))</f>
        <v/>
      </c>
    </row>
    <row r="6">
      <c r="A6" t="inlineStr">
        <is>
          <t>Fa-1</t>
        </is>
      </c>
      <c r="B6" t="inlineStr">
        <is>
          <t>Fa</t>
        </is>
      </c>
      <c r="C6" t="n">
        <v>0.5</v>
      </c>
      <c r="D6">
        <f>MAX(C6)</f>
        <v/>
      </c>
    </row>
    <row r="7">
      <c r="A7" t="inlineStr">
        <is>
          <t>Fa-2</t>
        </is>
      </c>
      <c r="B7" t="inlineStr">
        <is>
          <t>Fa</t>
        </is>
      </c>
      <c r="C7" t="n">
        <v>0.5</v>
      </c>
      <c r="D7">
        <f>MAX(C7)</f>
        <v/>
      </c>
    </row>
    <row r="8">
      <c r="A8" t="inlineStr">
        <is>
          <t>Fa-3</t>
        </is>
      </c>
      <c r="B8" t="inlineStr">
        <is>
          <t>Fa</t>
        </is>
      </c>
      <c r="C8" t="n">
        <v>0.5</v>
      </c>
      <c r="D8">
        <f>MAX(C8)</f>
        <v/>
      </c>
    </row>
    <row r="9">
      <c r="A9" t="inlineStr">
        <is>
          <t>Fa-4</t>
        </is>
      </c>
      <c r="B9" t="inlineStr">
        <is>
          <t>Fa</t>
        </is>
      </c>
      <c r="C9" t="n">
        <v>0.5</v>
      </c>
      <c r="D9">
        <f>MAX(C9)</f>
        <v/>
      </c>
    </row>
    <row r="10">
      <c r="A10" t="inlineStr">
        <is>
          <t>Tr-1</t>
        </is>
      </c>
      <c r="B10" t="inlineStr">
        <is>
          <t>Tr</t>
        </is>
      </c>
      <c r="C10" t="n">
        <v>0.5</v>
      </c>
      <c r="D10">
        <f>MAX(C10,IF('Agentic'!$C$18="Yes",0.6,0))</f>
        <v/>
      </c>
    </row>
    <row r="11">
      <c r="A11" t="inlineStr">
        <is>
          <t>Tr-2</t>
        </is>
      </c>
      <c r="B11" t="inlineStr">
        <is>
          <t>Tr</t>
        </is>
      </c>
      <c r="C11" t="n">
        <v>0.3</v>
      </c>
      <c r="D11">
        <f>MAX(C11,IF('Agentic'!$C$16="Yes",0.7,0),IF('Agentic'!$C$17="Yes",0.6,0),IF('Agentic'!$C$18="Yes",0.75,0))</f>
        <v/>
      </c>
    </row>
    <row r="12">
      <c r="A12" t="inlineStr">
        <is>
          <t>Tr-3</t>
        </is>
      </c>
      <c r="B12" t="inlineStr">
        <is>
          <t>Tr</t>
        </is>
      </c>
      <c r="C12" t="n">
        <v>0.4</v>
      </c>
      <c r="D12">
        <f>MAX(C12,IF('Agentic'!$C$17="Yes",0.65,0))</f>
        <v/>
      </c>
    </row>
    <row r="13">
      <c r="A13" t="inlineStr">
        <is>
          <t>Tr-4</t>
        </is>
      </c>
      <c r="B13" t="inlineStr">
        <is>
          <t>Tr</t>
        </is>
      </c>
      <c r="C13" t="n">
        <v>0</v>
      </c>
      <c r="D13">
        <f>MAX(C13,IF('Agentic'!$C$18="Yes",0.8,0))</f>
        <v/>
      </c>
    </row>
    <row r="14">
      <c r="A14" t="inlineStr">
        <is>
          <t>Pr-1</t>
        </is>
      </c>
      <c r="B14" t="inlineStr">
        <is>
          <t>Pr</t>
        </is>
      </c>
      <c r="C14" t="n">
        <v>0.25</v>
      </c>
      <c r="D14">
        <f>MAX(C14,IF('Agentic'!$C$16="Yes",0.6,0))</f>
        <v/>
      </c>
    </row>
    <row r="15">
      <c r="A15" t="inlineStr">
        <is>
          <t>Pr-2</t>
        </is>
      </c>
      <c r="B15" t="inlineStr">
        <is>
          <t>Pr</t>
        </is>
      </c>
      <c r="C15" t="n">
        <v>0.3</v>
      </c>
      <c r="D15">
        <f>MAX(C15)</f>
        <v/>
      </c>
    </row>
    <row r="16">
      <c r="A16" t="inlineStr">
        <is>
          <t>Pr-3</t>
        </is>
      </c>
      <c r="B16" t="inlineStr">
        <is>
          <t>Pr</t>
        </is>
      </c>
      <c r="C16" t="n">
        <v>0.3</v>
      </c>
      <c r="D16">
        <f>MAX(C16,IF('Agentic'!$C$18="Yes",0.7,0))</f>
        <v/>
      </c>
    </row>
    <row r="17">
      <c r="A17" t="inlineStr">
        <is>
          <t>Pr-4</t>
        </is>
      </c>
      <c r="B17" t="inlineStr">
        <is>
          <t>Pr</t>
        </is>
      </c>
      <c r="C17" t="n">
        <v>0.5</v>
      </c>
      <c r="D17">
        <f>MAX(C17)</f>
        <v/>
      </c>
    </row>
    <row r="18">
      <c r="A18" t="inlineStr">
        <is>
          <t>Cn-1</t>
        </is>
      </c>
      <c r="B18" t="inlineStr">
        <is>
          <t>Cn</t>
        </is>
      </c>
      <c r="C18" t="n">
        <v>0.1</v>
      </c>
      <c r="D18">
        <f>MAX(C18,IF('Agentic'!$C$11="Yes",0.8,0),IF('Agentic'!$C$12="Yes",0.75,0),IF('Agentic'!$C$13="Yes",0.75,0),IF('Agentic'!$C$14="Yes",0.65,0),IF('Agentic'!$C$15="Yes",0.7,0),IF('Agentic'!$C$18="Yes",0.6,0))</f>
        <v/>
      </c>
    </row>
    <row r="19">
      <c r="A19" t="inlineStr">
        <is>
          <t>Cn-2</t>
        </is>
      </c>
      <c r="B19" t="inlineStr">
        <is>
          <t>Cn</t>
        </is>
      </c>
      <c r="C19" t="n">
        <v>0.15</v>
      </c>
      <c r="D19">
        <f>MAX(C19,IF('Agentic'!$C$11="Yes",0.75,0),IF('Agentic'!$C$12="Yes",0.7,0),IF('Agentic'!$C$13="Yes",0.7,0))</f>
        <v/>
      </c>
    </row>
    <row r="20">
      <c r="A20" t="inlineStr">
        <is>
          <t>Cn-3</t>
        </is>
      </c>
      <c r="B20" t="inlineStr">
        <is>
          <t>Cn</t>
        </is>
      </c>
      <c r="C20" t="n">
        <v>0.1</v>
      </c>
      <c r="D20">
        <f>MAX(C20,IF('Agentic'!$C$15="Yes",0.65,0),IF('Agentic'!$C$16="Yes",0.75,0))</f>
        <v/>
      </c>
    </row>
    <row r="21">
      <c r="A21" t="inlineStr">
        <is>
          <t>Cn-4</t>
        </is>
      </c>
      <c r="B21" t="inlineStr">
        <is>
          <t>Cn</t>
        </is>
      </c>
      <c r="C21" t="n">
        <v>0.2</v>
      </c>
      <c r="D21">
        <f>MAX(C21,IF('Agentic'!$C$14="Yes",0.55,0),IF('Agentic'!$C$15="Yes",0.6,0))</f>
        <v/>
      </c>
    </row>
    <row r="22">
      <c r="A22" t="inlineStr">
        <is>
          <t>Cn-5</t>
        </is>
      </c>
      <c r="B22" t="inlineStr">
        <is>
          <t>Cn</t>
        </is>
      </c>
      <c r="C22" t="n">
        <v>0.2</v>
      </c>
      <c r="D22">
        <f>MAX(C22,IF('Agentic'!$C$11="Yes",0.7,0),IF('Agentic'!$C$13="Yes",0.8,0))</f>
        <v/>
      </c>
    </row>
    <row r="23">
      <c r="A23" t="inlineStr">
        <is>
          <t>axis averages</t>
        </is>
      </c>
    </row>
    <row r="24">
      <c r="A24" t="inlineStr">
        <is>
          <t>Ro</t>
        </is>
      </c>
      <c r="B24">
        <f>AVERAGE(D2:D5)</f>
        <v/>
      </c>
    </row>
    <row r="25">
      <c r="A25" t="inlineStr">
        <is>
          <t>Fa</t>
        </is>
      </c>
      <c r="B25">
        <f>AVERAGE(D6:D9)</f>
        <v/>
      </c>
    </row>
    <row r="26">
      <c r="A26" t="inlineStr">
        <is>
          <t>Tr</t>
        </is>
      </c>
      <c r="B26">
        <f>AVERAGE(D10:D13)</f>
        <v/>
      </c>
    </row>
    <row r="27">
      <c r="A27" t="inlineStr">
        <is>
          <t>Pr</t>
        </is>
      </c>
      <c r="B27">
        <f>AVERAGE(D14:D17)</f>
        <v/>
      </c>
    </row>
    <row r="28">
      <c r="A28" t="inlineStr">
        <is>
          <t>Cn</t>
        </is>
      </c>
      <c r="B28">
        <f>AVERAGE(D18:D22)</f>
        <v/>
      </c>
    </row>
    <row r="30">
      <c r="A30" t="inlineStr">
        <is>
          <t>IVP</t>
        </is>
      </c>
      <c r="B30">
        <f>0.15*B24+0.1*B25+0.15*B26+0.15*B27+0.45*B28</f>
        <v/>
      </c>
    </row>
    <row r="32">
      <c r="A32" t="inlineStr">
        <is>
          <t>aa</t>
        </is>
      </c>
      <c r="B32">
        <f>IF('Agentic'!$C$5="Yes",0.85,0.3)</f>
        <v/>
      </c>
    </row>
    <row r="33">
      <c r="A33" t="inlineStr">
        <is>
          <t>as</t>
        </is>
      </c>
      <c r="B33">
        <f>IF('Agentic'!$C$6="Yes",0.85,0.3)</f>
        <v/>
      </c>
    </row>
    <row r="34">
      <c r="A34" t="inlineStr">
        <is>
          <t>cp</t>
        </is>
      </c>
      <c r="B34">
        <f>IF('Agentic'!$C$7="Yes",0.85,0.3)</f>
        <v/>
      </c>
    </row>
    <row r="35">
      <c r="A35" t="inlineStr">
        <is>
          <t>rf</t>
        </is>
      </c>
      <c r="B35">
        <f>IF('Agentic'!$C$8="Yes",0.85,0.3)</f>
        <v/>
      </c>
    </row>
    <row r="36">
      <c r="A36" t="inlineStr">
        <is>
          <t>orp_avg</t>
        </is>
      </c>
      <c r="B36">
        <f>AVERAGE(B32:B35)</f>
        <v/>
      </c>
    </row>
    <row r="37">
      <c r="A37" t="inlineStr">
        <is>
          <t>n_elev</t>
        </is>
      </c>
      <c r="B37">
        <f>(IF(B32&gt;0.75,1,0)+IF(B33&gt;0.75,1,0)+IF(B34&gt;0.75,1,0)+IF(B35&gt;0.75,1,0))</f>
        <v/>
      </c>
    </row>
    <row r="38">
      <c r="A38" t="inlineStr">
        <is>
          <t>CRM</t>
        </is>
      </c>
      <c r="B38">
        <f>MIN(1.75,MAX(0.75,-0.129+1.882*B36+0.05*B37))</f>
        <v/>
      </c>
    </row>
    <row r="40">
      <c r="A40" t="inlineStr">
        <is>
          <t>pc</t>
        </is>
      </c>
      <c r="B40">
        <f>IF('Agentic'!$C$21="Yes",0.8,0.2)</f>
        <v/>
      </c>
    </row>
    <row r="41">
      <c r="A41" t="inlineStr">
        <is>
          <t>ec</t>
        </is>
      </c>
      <c r="B41">
        <f>IF('Agentic'!$C$22="Yes",0.8,0.2)</f>
        <v/>
      </c>
    </row>
    <row r="42">
      <c r="A42" t="inlineStr">
        <is>
          <t>tf</t>
        </is>
      </c>
      <c r="B42">
        <f>IF('Agentic'!$C$22="Yes",IF('Agentic'!$C$23="Yes",0.8,0.25),0.2)</f>
        <v/>
      </c>
    </row>
    <row r="43">
      <c r="A43" t="inlineStr">
        <is>
          <t>ACI</t>
        </is>
      </c>
      <c r="B43">
        <f>(MAX(B40,0.01)*MAX(B41,0.01)*MAX(B42,0.01))^(1/3)</f>
        <v/>
      </c>
    </row>
    <row r="44">
      <c r="A44" t="inlineStr">
        <is>
          <t>aci_mod</t>
        </is>
      </c>
      <c r="B44">
        <f>1.1-0.525*B43</f>
        <v/>
      </c>
    </row>
    <row r="46">
      <c r="A46" t="inlineStr">
        <is>
          <t>ERS</t>
        </is>
      </c>
      <c r="B46">
        <f>MIN(10,MAX(1.5,1.5+8.5*(1-B30)*B38*B44))</f>
        <v/>
      </c>
    </row>
    <row r="48">
      <c r="A48" t="inlineStr">
        <is>
          <t>points-you-could-save (per safeguard)</t>
        </is>
      </c>
    </row>
    <row r="49">
      <c r="A49" t="inlineStr">
        <is>
          <t>s1</t>
        </is>
      </c>
      <c r="B49">
        <f>MAX(0,B46-MIN(10,MAX(1.5,1.5+8.5*(1-((0.15*((D2+D3+D4+D5)/4)+0.1*((D6+D7+D8+D9)/4)+0.15*((D10+D11+D12+D13)/4)+0.15*((D14+D15+D16+D17)/4)+0.45*((MAX(D18,0.8)+MAX(D19,0.75)+D20+D21+MAX(D22,0.7))/5))))*B38*B44)))</f>
        <v/>
      </c>
    </row>
    <row r="50">
      <c r="A50" t="inlineStr">
        <is>
          <t>s2</t>
        </is>
      </c>
      <c r="B50">
        <f>MAX(0,B46-MIN(10,MAX(1.5,1.5+8.5*(1-((0.15*((D2+D3+D4+D5)/4)+0.1*((D6+D7+D8+D9)/4)+0.15*((D10+D11+D12+D13)/4)+0.15*((D14+D15+D16+D17)/4)+0.45*((MAX(D18,0.75)+MAX(D19,0.7)+D20+D21+D22)/5))))*B38*B44)))</f>
        <v/>
      </c>
    </row>
    <row r="51">
      <c r="A51" t="inlineStr">
        <is>
          <t>s3</t>
        </is>
      </c>
      <c r="B51">
        <f>MAX(0,B46-MIN(10,MAX(1.5,1.5+8.5*(1-((0.15*((D2+D3+D4+D5)/4)+0.1*((D6+D7+D8+D9)/4)+0.15*((D10+D11+D12+D13)/4)+0.15*((D14+D15+D16+D17)/4)+0.45*((MAX(D18,0.75)+MAX(D19,0.7)+D20+D21+MAX(D22,0.8))/5))))*B38*B44)))</f>
        <v/>
      </c>
    </row>
    <row r="52">
      <c r="A52" t="inlineStr">
        <is>
          <t>s4</t>
        </is>
      </c>
      <c r="B52">
        <f>MAX(0,B46-MIN(10,MAX(1.5,1.5+8.5*(1-((0.15*((D2+D3+D4+MAX(D5,0.55))/4)+0.1*((D6+D7+D8+D9)/4)+0.15*((D10+D11+D12+D13)/4)+0.15*((D14+D15+D16+D17)/4)+0.45*((MAX(D18,0.65)+D19+D20+MAX(D21,0.55)+D22)/5))))*B38*B44)))</f>
        <v/>
      </c>
    </row>
    <row r="53">
      <c r="A53" t="inlineStr">
        <is>
          <t>s5</t>
        </is>
      </c>
      <c r="B53">
        <f>MAX(0,B46-MIN(10,MAX(1.5,1.5+8.5*(1-((0.15*((D2+D3+D4+D5)/4)+0.1*((D6+D7+D8+D9)/4)+0.15*((D10+D11+D12+D13)/4)+0.15*((D14+D15+D16+D17)/4)+0.45*((MAX(D18,0.7)+D19+MAX(D20,0.65)+MAX(D21,0.6)+D22)/5))))*B38*B44)))</f>
        <v/>
      </c>
    </row>
    <row r="54">
      <c r="A54" t="inlineStr">
        <is>
          <t>s6</t>
        </is>
      </c>
      <c r="B54">
        <f>MAX(0,B46-MIN(10,MAX(1.5,1.5+8.5*(1-((0.15*((MAX(D2,0.65)+D3+D4+D5)/4)+0.1*((D6+D7+D8+D9)/4)+0.15*((D10+MAX(D11,0.7)+D12+D13)/4)+0.15*((MAX(D14,0.6)+D15+D16+D17)/4)+0.45*((D18+D19+MAX(D20,0.75)+D21+D22)/5))))*B38*B44)))</f>
        <v/>
      </c>
    </row>
    <row r="55">
      <c r="A55" t="inlineStr">
        <is>
          <t>s7</t>
        </is>
      </c>
      <c r="B55">
        <f>MAX(0,B46-MIN(10,MAX(1.5,1.5+8.5*(1-((0.15*((MAX(D2,0.75)+D3+MAX(D4,0.65)+MAX(D5,0.55))/4)+0.1*((D6+D7+D8+D9)/4)+0.15*((D10+MAX(D11,0.6)+MAX(D12,0.65)+D13)/4)+0.15*((D14+D15+D16+D17)/4)+0.45*((D18+D19+D20+D21+D22)/5))))*B38*B44)))</f>
        <v/>
      </c>
    </row>
    <row r="56">
      <c r="A56" t="inlineStr">
        <is>
          <t>s8</t>
        </is>
      </c>
      <c r="B56">
        <f>MAX(0,B46-MIN(10,MAX(1.5,1.5+8.5*(1-((0.15*((D2+D3+MAX(D4,0.7)+MAX(D5,0.7))/4)+0.1*((D6+D7+D8+D9)/4)+0.15*((MAX(D10,0.6)+MAX(D11,0.75)+D12+MAX(D13,0.8))/4)+0.15*((D14+D15+MAX(D16,0.7)+D17)/4)+0.45*((MAX(D18,0.6)+D19+D20+D21+D22)/5))))*B38*B44)))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" customWidth="1" min="1" max="1"/>
    <col width="78" customWidth="1" min="2" max="2"/>
    <col width="10" customWidth="1" min="3" max="3"/>
    <col width="18" customWidth="1" min="4" max="4"/>
  </cols>
  <sheetData>
    <row r="1">
      <c r="A1" s="1" t="inlineStr">
        <is>
          <t>AITBM — Quick AI Risk Self-Assessment — RAG</t>
        </is>
      </c>
    </row>
    <row r="2" ht="42" customHeight="1">
      <c r="A2" s="2" t="inlineStr">
        <is>
          <t>Scenario: RAG. Answer Yes or No in column C; the Effective Risk Score (ERS) updates automatically. The Agentic / RAG / Standalone tabs each carry questions tailored to that architecture. Educational estimate; see the AITBM Framework Specification for assessments of record.</t>
        </is>
      </c>
    </row>
    <row r="4">
      <c r="A4" s="3" t="inlineStr">
        <is>
          <t>A</t>
        </is>
      </c>
      <c r="B4" s="3" t="inlineStr">
        <is>
          <t>About your system — A few questions about your retrieval-augmented (RAG) system and its data.</t>
        </is>
      </c>
      <c r="C4" s="3" t="n"/>
      <c r="D4" s="3" t="n"/>
    </row>
    <row r="5" ht="28" customHeight="1">
      <c r="B5" s="4" t="inlineStr">
        <is>
          <t>Does the system act on retrieved content automatically (e.g., trigger actions), rather than only answering?</t>
        </is>
      </c>
      <c r="C5" s="5" t="inlineStr">
        <is>
          <t>No</t>
        </is>
      </c>
    </row>
    <row r="6" ht="28" customHeight="1">
      <c r="B6" s="4" t="inlineStr">
        <is>
          <t>Can untrusted or externally-sourced documents enter the knowledge base, or be retrieved at query time?</t>
        </is>
      </c>
      <c r="C6" s="5" t="inlineStr">
        <is>
          <t>No</t>
        </is>
      </c>
    </row>
    <row r="7" ht="28" customHeight="1">
      <c r="B7" s="4" t="inlineStr">
        <is>
          <t>Could a wrong or poisoned answer cause serious harm (financial, legal, safety, or a wide audience)?</t>
        </is>
      </c>
      <c r="C7" s="5" t="inlineStr">
        <is>
          <t>No</t>
        </is>
      </c>
    </row>
    <row r="8" ht="28" customHeight="1">
      <c r="B8" s="4" t="inlineStr">
        <is>
          <t>Would correcting a bad answer be slow (re-indexing, re-embedding, vendor dependency, no quick fix)?</t>
        </is>
      </c>
      <c r="C8" s="5" t="inlineStr">
        <is>
          <t>No</t>
        </is>
      </c>
    </row>
    <row r="10">
      <c r="A10" s="3" t="inlineStr">
        <is>
          <t>B</t>
        </is>
      </c>
      <c r="B10" s="3" t="inlineStr">
        <is>
          <t>Safeguards in place — Answer Yes only for protections you have actually implemented.</t>
        </is>
      </c>
      <c r="C10" s="3" t="n"/>
      <c r="D10" s="3" t="inlineStr">
        <is>
          <t>Points you could save</t>
        </is>
      </c>
    </row>
    <row r="11" ht="28" customHeight="1">
      <c r="B11" s="4" t="inlineStr">
        <is>
          <t>Is your RAG pipeline secured — retrieved content validated and access-controlled before use?</t>
        </is>
      </c>
      <c r="C11" s="5" t="inlineStr">
        <is>
          <t>No</t>
        </is>
      </c>
      <c r="D11" s="6">
        <f>IF('RAG'!$C$11="Yes","",ROUND('RAG Engine'!B49,1))</f>
        <v/>
      </c>
    </row>
    <row r="12" ht="28" customHeight="1">
      <c r="B12" s="4" t="inlineStr">
        <is>
          <t>Do you detect and block leakage of sensitive or personal data in answers?</t>
        </is>
      </c>
      <c r="C12" s="5" t="inlineStr">
        <is>
          <t>No</t>
        </is>
      </c>
      <c r="D12" s="6">
        <f>IF('RAG'!$C$12="Yes","",ROUND('RAG Engine'!B50,1))</f>
        <v/>
      </c>
    </row>
    <row r="13" ht="28" customHeight="1">
      <c r="B13" s="4" t="inlineStr">
        <is>
          <t>Do you filter and validate both the user query and the generated answer?</t>
        </is>
      </c>
      <c r="C13" s="5" t="inlineStr">
        <is>
          <t>No</t>
        </is>
      </c>
      <c r="D13" s="6">
        <f>IF('RAG'!$C$13="Yes","",ROUND('RAG Engine'!B51,1))</f>
        <v/>
      </c>
    </row>
    <row r="14" ht="28" customHeight="1">
      <c r="B14" s="4" t="inlineStr">
        <is>
          <t>Do you detect indirect prompt injection carried inside retrieved documents?</t>
        </is>
      </c>
      <c r="C14" s="5" t="inlineStr">
        <is>
          <t>No</t>
        </is>
      </c>
      <c r="D14" s="6">
        <f>IF('RAG'!$C$14="Yes","",ROUND('RAG Engine'!B52,1))</f>
        <v/>
      </c>
    </row>
    <row r="15" ht="28" customHeight="1">
      <c r="B15" s="4" t="inlineStr">
        <is>
          <t>Do you resist data poisoning of the corpus or training data (vetting, adversarial hardening)?</t>
        </is>
      </c>
      <c r="C15" s="5" t="inlineStr">
        <is>
          <t>No</t>
        </is>
      </c>
      <c r="D15" s="6">
        <f>IF('RAG'!$C$15="Yes","",ROUND('RAG Engine'!B53,1))</f>
        <v/>
      </c>
    </row>
    <row r="16" ht="28" customHeight="1">
      <c r="B16" s="4" t="inlineStr">
        <is>
          <t>Do you track provenance/lineage of the model AND the knowledge-base sources?</t>
        </is>
      </c>
      <c r="C16" s="5" t="inlineStr">
        <is>
          <t>No</t>
        </is>
      </c>
      <c r="D16" s="6">
        <f>IF('RAG'!$C$16="Yes","",ROUND('RAG Engine'!B54,1))</f>
        <v/>
      </c>
    </row>
    <row r="17" ht="28" customHeight="1">
      <c r="B17" s="4" t="inlineStr">
        <is>
          <t>Are the vector store, secrets, and backend isolated and network-segmented?</t>
        </is>
      </c>
      <c r="C17" s="5" t="inlineStr">
        <is>
          <t>No</t>
        </is>
      </c>
      <c r="D17" s="6">
        <f>IF('RAG'!$C$17="Yes","",ROUND('RAG Engine'!B55,1))</f>
        <v/>
      </c>
    </row>
    <row r="18" ht="28" customHeight="1">
      <c r="B18" s="4" t="inlineStr">
        <is>
          <t>Do you monitor for retrieval drift/anomalies and document the system's expected behavior?</t>
        </is>
      </c>
      <c r="C18" s="5" t="inlineStr">
        <is>
          <t>No</t>
        </is>
      </c>
      <c r="D18" s="6">
        <f>IF('RAG'!$C$18="Yes","",ROUND('RAG Engine'!B56,1))</f>
        <v/>
      </c>
    </row>
    <row r="20">
      <c r="A20" s="3" t="inlineStr">
        <is>
          <t>C</t>
        </is>
      </c>
      <c r="B20" s="3" t="inlineStr">
        <is>
          <t>Evidence &amp; assurance — How well the system's security is documented and tested.</t>
        </is>
      </c>
      <c r="C20" s="3" t="n"/>
      <c r="D20" s="3" t="n"/>
    </row>
    <row r="21" ht="28" customHeight="1">
      <c r="B21" s="4" t="inlineStr">
        <is>
          <t>Do you document provenance for the model AND the knowledge-base sources (AIBOM / data lineage)?</t>
        </is>
      </c>
      <c r="C21" s="5" t="inlineStr">
        <is>
          <t>No</t>
        </is>
      </c>
    </row>
    <row r="22" ht="28" customHeight="1">
      <c r="B22" s="4" t="inlineStr">
        <is>
          <t>Have you security-tested the RAG pipeline (data poisoning, indirect injection, data leakage)?</t>
        </is>
      </c>
      <c r="C22" s="5" t="inlineStr">
        <is>
          <t>No</t>
        </is>
      </c>
    </row>
    <row r="23" ht="28" customHeight="1">
      <c r="B23" s="4" t="inlineStr">
        <is>
          <t>Was that testing recent (within ~12 months) and re-run when the corpus changed?</t>
        </is>
      </c>
      <c r="C23" s="5" t="inlineStr">
        <is>
          <t>No</t>
        </is>
      </c>
    </row>
    <row r="26">
      <c r="A26" s="3" t="inlineStr">
        <is>
          <t>RESULT</t>
        </is>
      </c>
      <c r="B26" s="3" t="n"/>
      <c r="C26" s="3" t="n"/>
      <c r="D26" s="3" t="n"/>
    </row>
    <row r="27">
      <c r="B27" s="7" t="inlineStr">
        <is>
          <t>Effective Risk Score (ERS)</t>
        </is>
      </c>
      <c r="C27" s="8">
        <f>ROUND('RAG Engine'!B46,1)</f>
        <v/>
      </c>
    </row>
    <row r="28">
      <c r="B28" s="9" t="inlineStr">
        <is>
          <t>Severity</t>
        </is>
      </c>
      <c r="C28">
        <f>IF('RAG Engine'!B46&gt;=9,"Critical",IF('RAG Engine'!B46&gt;=7,"High",IF('RAG Engine'!B46&gt;=5,"Moderate",IF('RAG Engine'!B46&gt;=3,"Low-Moderate","Low"))))</f>
        <v/>
      </c>
    </row>
    <row r="29">
      <c r="B29" s="9" t="inlineStr">
        <is>
          <t>Scenario</t>
        </is>
      </c>
      <c r="C29" s="10" t="inlineStr">
        <is>
          <t>RAG</t>
        </is>
      </c>
    </row>
  </sheetData>
  <mergeCells count="2">
    <mergeCell ref="A1:D1"/>
    <mergeCell ref="A2:D2"/>
  </mergeCells>
  <dataValidations count="1">
    <dataValidation sqref="C5 C6 C7 C8 C11 C12 C13 C14 C15 C16 C17 C18 C21 C22 C23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axis</t>
        </is>
      </c>
      <c r="C1" t="inlineStr">
        <is>
          <t>base</t>
        </is>
      </c>
      <c r="D1" t="inlineStr">
        <is>
          <t>value</t>
        </is>
      </c>
    </row>
    <row r="2">
      <c r="A2" t="inlineStr">
        <is>
          <t>Ro-1</t>
        </is>
      </c>
      <c r="B2" t="inlineStr">
        <is>
          <t>Ro</t>
        </is>
      </c>
      <c r="C2" t="n">
        <v>0.2</v>
      </c>
      <c r="D2">
        <f>MAX(C2,IF('RAG'!$C$13="Yes",0.65,0),IF('RAG'!$C$14="Yes",0.75,0),IF('RAG'!$C$15="Yes",0.7,0))</f>
        <v/>
      </c>
    </row>
    <row r="3">
      <c r="A3" t="inlineStr">
        <is>
          <t>Ro-2</t>
        </is>
      </c>
      <c r="B3" t="inlineStr">
        <is>
          <t>Ro</t>
        </is>
      </c>
      <c r="C3" t="n">
        <v>0.5</v>
      </c>
      <c r="D3">
        <f>MAX(C3)</f>
        <v/>
      </c>
    </row>
    <row r="4">
      <c r="A4" t="inlineStr">
        <is>
          <t>Ro-3</t>
        </is>
      </c>
      <c r="B4" t="inlineStr">
        <is>
          <t>Ro</t>
        </is>
      </c>
      <c r="C4" t="n">
        <v>0.25</v>
      </c>
      <c r="D4">
        <f>MAX(C4,IF('RAG'!$C$18="Yes",0.7,0))</f>
        <v/>
      </c>
    </row>
    <row r="5">
      <c r="A5" t="inlineStr">
        <is>
          <t>Ro-4</t>
        </is>
      </c>
      <c r="B5" t="inlineStr">
        <is>
          <t>Ro</t>
        </is>
      </c>
      <c r="C5" t="n">
        <v>0.15</v>
      </c>
      <c r="D5">
        <f>MAX(C5,IF('RAG'!$C$11="Yes",0.7,0),IF('RAG'!$C$15="Yes",0.65,0),IF('RAG'!$C$16="Yes",0.7,0),IF('RAG'!$C$18="Yes",0.55,0))</f>
        <v/>
      </c>
    </row>
    <row r="6">
      <c r="A6" t="inlineStr">
        <is>
          <t>Fa-1</t>
        </is>
      </c>
      <c r="B6" t="inlineStr">
        <is>
          <t>Fa</t>
        </is>
      </c>
      <c r="C6" t="n">
        <v>0.5</v>
      </c>
      <c r="D6">
        <f>MAX(C6)</f>
        <v/>
      </c>
    </row>
    <row r="7">
      <c r="A7" t="inlineStr">
        <is>
          <t>Fa-2</t>
        </is>
      </c>
      <c r="B7" t="inlineStr">
        <is>
          <t>Fa</t>
        </is>
      </c>
      <c r="C7" t="n">
        <v>0.5</v>
      </c>
      <c r="D7">
        <f>MAX(C7)</f>
        <v/>
      </c>
    </row>
    <row r="8">
      <c r="A8" t="inlineStr">
        <is>
          <t>Fa-3</t>
        </is>
      </c>
      <c r="B8" t="inlineStr">
        <is>
          <t>Fa</t>
        </is>
      </c>
      <c r="C8" t="n">
        <v>0.5</v>
      </c>
      <c r="D8">
        <f>MAX(C8)</f>
        <v/>
      </c>
    </row>
    <row r="9">
      <c r="A9" t="inlineStr">
        <is>
          <t>Fa-4</t>
        </is>
      </c>
      <c r="B9" t="inlineStr">
        <is>
          <t>Fa</t>
        </is>
      </c>
      <c r="C9" t="n">
        <v>0.5</v>
      </c>
      <c r="D9">
        <f>MAX(C9)</f>
        <v/>
      </c>
    </row>
    <row r="10">
      <c r="A10" t="inlineStr">
        <is>
          <t>Tr-1</t>
        </is>
      </c>
      <c r="B10" t="inlineStr">
        <is>
          <t>Tr</t>
        </is>
      </c>
      <c r="C10" t="n">
        <v>0.5</v>
      </c>
      <c r="D10">
        <f>MAX(C10,IF('RAG'!$C$18="Yes",0.6,0))</f>
        <v/>
      </c>
    </row>
    <row r="11">
      <c r="A11" t="inlineStr">
        <is>
          <t>Tr-2</t>
        </is>
      </c>
      <c r="B11" t="inlineStr">
        <is>
          <t>Tr</t>
        </is>
      </c>
      <c r="C11" t="n">
        <v>0.3</v>
      </c>
      <c r="D11">
        <f>MAX(C11,IF('RAG'!$C$13="Yes",0.7,0),IF('RAG'!$C$18="Yes",0.75,0))</f>
        <v/>
      </c>
    </row>
    <row r="12">
      <c r="A12" t="inlineStr">
        <is>
          <t>Tr-3</t>
        </is>
      </c>
      <c r="B12" t="inlineStr">
        <is>
          <t>Tr</t>
        </is>
      </c>
      <c r="C12" t="n">
        <v>0.4</v>
      </c>
      <c r="D12">
        <f>MAX(C12,IF('RAG'!$C$14="Yes",0.65,0))</f>
        <v/>
      </c>
    </row>
    <row r="13">
      <c r="A13" t="inlineStr">
        <is>
          <t>Tr-4</t>
        </is>
      </c>
      <c r="B13" t="inlineStr">
        <is>
          <t>Tr</t>
        </is>
      </c>
      <c r="C13" t="n">
        <v>0</v>
      </c>
      <c r="D13">
        <f>MAX(C13,IF('RAG'!$C$16="Yes",0.8,0))</f>
        <v/>
      </c>
    </row>
    <row r="14">
      <c r="A14" t="inlineStr">
        <is>
          <t>Pr-1</t>
        </is>
      </c>
      <c r="B14" t="inlineStr">
        <is>
          <t>Pr</t>
        </is>
      </c>
      <c r="C14" t="n">
        <v>0.25</v>
      </c>
      <c r="D14">
        <f>MAX(C14,IF('RAG'!$C$12="Yes",0.7,0),IF('RAG'!$C$13="Yes",0.6,0))</f>
        <v/>
      </c>
    </row>
    <row r="15">
      <c r="A15" t="inlineStr">
        <is>
          <t>Pr-2</t>
        </is>
      </c>
      <c r="B15" t="inlineStr">
        <is>
          <t>Pr</t>
        </is>
      </c>
      <c r="C15" t="n">
        <v>0.3</v>
      </c>
      <c r="D15">
        <f>MAX(C15,IF('RAG'!$C$11="Yes",0.65,0))</f>
        <v/>
      </c>
    </row>
    <row r="16">
      <c r="A16" t="inlineStr">
        <is>
          <t>Pr-3</t>
        </is>
      </c>
      <c r="B16" t="inlineStr">
        <is>
          <t>Pr</t>
        </is>
      </c>
      <c r="C16" t="n">
        <v>0.3</v>
      </c>
      <c r="D16">
        <f>MAX(C16,IF('RAG'!$C$12="Yes",0.65,0),IF('RAG'!$C$16="Yes",0.7,0))</f>
        <v/>
      </c>
    </row>
    <row r="17">
      <c r="A17" t="inlineStr">
        <is>
          <t>Pr-4</t>
        </is>
      </c>
      <c r="B17" t="inlineStr">
        <is>
          <t>Pr</t>
        </is>
      </c>
      <c r="C17" t="n">
        <v>0.5</v>
      </c>
      <c r="D17">
        <f>MAX(C17)</f>
        <v/>
      </c>
    </row>
    <row r="18">
      <c r="A18" t="inlineStr">
        <is>
          <t>Cn-1</t>
        </is>
      </c>
      <c r="B18" t="inlineStr">
        <is>
          <t>Cn</t>
        </is>
      </c>
      <c r="C18" t="n">
        <v>0.1</v>
      </c>
      <c r="D18">
        <f>MAX(C18,IF('RAG'!$C$16="Yes",0.6,0),IF('RAG'!$C$17="Yes",0.7,0))</f>
        <v/>
      </c>
    </row>
    <row r="19">
      <c r="A19" t="inlineStr">
        <is>
          <t>Cn-2</t>
        </is>
      </c>
      <c r="B19" t="inlineStr">
        <is>
          <t>Cn</t>
        </is>
      </c>
      <c r="C19" t="n">
        <v>0.15</v>
      </c>
      <c r="D19">
        <f>MAX(C19)</f>
        <v/>
      </c>
    </row>
    <row r="20">
      <c r="A20" t="inlineStr">
        <is>
          <t>Cn-3</t>
        </is>
      </c>
      <c r="B20" t="inlineStr">
        <is>
          <t>Cn</t>
        </is>
      </c>
      <c r="C20" t="n">
        <v>0.1</v>
      </c>
      <c r="D20">
        <f>MAX(C20,IF('RAG'!$C$11="Yes",0.7,0),IF('RAG'!$C$12="Yes",0.7,0),IF('RAG'!$C$13="Yes",0.75,0),IF('RAG'!$C$17="Yes",0.65,0))</f>
        <v/>
      </c>
    </row>
    <row r="21">
      <c r="A21" t="inlineStr">
        <is>
          <t>Cn-4</t>
        </is>
      </c>
      <c r="B21" t="inlineStr">
        <is>
          <t>Cn</t>
        </is>
      </c>
      <c r="C21" t="n">
        <v>0.2</v>
      </c>
      <c r="D21">
        <f>MAX(C21,IF('RAG'!$C$17="Yes",0.6,0))</f>
        <v/>
      </c>
    </row>
    <row r="22">
      <c r="A22" t="inlineStr">
        <is>
          <t>Cn-5</t>
        </is>
      </c>
      <c r="B22" t="inlineStr">
        <is>
          <t>Cn</t>
        </is>
      </c>
      <c r="C22" t="n">
        <v>0.2</v>
      </c>
      <c r="D22">
        <f>MAX(C22)</f>
        <v/>
      </c>
    </row>
    <row r="23">
      <c r="A23" t="inlineStr">
        <is>
          <t>axis averages</t>
        </is>
      </c>
    </row>
    <row r="24">
      <c r="A24" t="inlineStr">
        <is>
          <t>Ro</t>
        </is>
      </c>
      <c r="B24">
        <f>AVERAGE(D2:D5)</f>
        <v/>
      </c>
    </row>
    <row r="25">
      <c r="A25" t="inlineStr">
        <is>
          <t>Fa</t>
        </is>
      </c>
      <c r="B25">
        <f>AVERAGE(D6:D9)</f>
        <v/>
      </c>
    </row>
    <row r="26">
      <c r="A26" t="inlineStr">
        <is>
          <t>Tr</t>
        </is>
      </c>
      <c r="B26">
        <f>AVERAGE(D10:D13)</f>
        <v/>
      </c>
    </row>
    <row r="27">
      <c r="A27" t="inlineStr">
        <is>
          <t>Pr</t>
        </is>
      </c>
      <c r="B27">
        <f>AVERAGE(D14:D17)</f>
        <v/>
      </c>
    </row>
    <row r="28">
      <c r="A28" t="inlineStr">
        <is>
          <t>Cn</t>
        </is>
      </c>
      <c r="B28">
        <f>AVERAGE(D18:D22)</f>
        <v/>
      </c>
    </row>
    <row r="30">
      <c r="A30" t="inlineStr">
        <is>
          <t>IVP</t>
        </is>
      </c>
      <c r="B30">
        <f>0.25*B24+0.1*B25+0.15*B26+0.3*B27+0.2*B28</f>
        <v/>
      </c>
    </row>
    <row r="32">
      <c r="A32" t="inlineStr">
        <is>
          <t>aa</t>
        </is>
      </c>
      <c r="B32">
        <f>IF('RAG'!$C$5="Yes",0.85,0.3)</f>
        <v/>
      </c>
    </row>
    <row r="33">
      <c r="A33" t="inlineStr">
        <is>
          <t>as</t>
        </is>
      </c>
      <c r="B33">
        <f>IF('RAG'!$C$6="Yes",0.85,0.3)</f>
        <v/>
      </c>
    </row>
    <row r="34">
      <c r="A34" t="inlineStr">
        <is>
          <t>cp</t>
        </is>
      </c>
      <c r="B34">
        <f>IF('RAG'!$C$7="Yes",0.85,0.3)</f>
        <v/>
      </c>
    </row>
    <row r="35">
      <c r="A35" t="inlineStr">
        <is>
          <t>rf</t>
        </is>
      </c>
      <c r="B35">
        <f>IF('RAG'!$C$8="Yes",0.85,0.3)</f>
        <v/>
      </c>
    </row>
    <row r="36">
      <c r="A36" t="inlineStr">
        <is>
          <t>orp_avg</t>
        </is>
      </c>
      <c r="B36">
        <f>AVERAGE(B32:B35)</f>
        <v/>
      </c>
    </row>
    <row r="37">
      <c r="A37" t="inlineStr">
        <is>
          <t>n_elev</t>
        </is>
      </c>
      <c r="B37">
        <f>(IF(B32&gt;0.75,1,0)+IF(B33&gt;0.75,1,0)+IF(B34&gt;0.75,1,0)+IF(B35&gt;0.75,1,0))</f>
        <v/>
      </c>
    </row>
    <row r="38">
      <c r="A38" t="inlineStr">
        <is>
          <t>CRM</t>
        </is>
      </c>
      <c r="B38">
        <f>MIN(1.75,MAX(0.75,-0.129+1.882*B36+0.05*B37))</f>
        <v/>
      </c>
    </row>
    <row r="40">
      <c r="A40" t="inlineStr">
        <is>
          <t>pc</t>
        </is>
      </c>
      <c r="B40">
        <f>IF('RAG'!$C$21="Yes",0.8,0.2)</f>
        <v/>
      </c>
    </row>
    <row r="41">
      <c r="A41" t="inlineStr">
        <is>
          <t>ec</t>
        </is>
      </c>
      <c r="B41">
        <f>IF('RAG'!$C$22="Yes",0.8,0.2)</f>
        <v/>
      </c>
    </row>
    <row r="42">
      <c r="A42" t="inlineStr">
        <is>
          <t>tf</t>
        </is>
      </c>
      <c r="B42">
        <f>IF('RAG'!$C$22="Yes",IF('RAG'!$C$23="Yes",0.8,0.25),0.2)</f>
        <v/>
      </c>
    </row>
    <row r="43">
      <c r="A43" t="inlineStr">
        <is>
          <t>ACI</t>
        </is>
      </c>
      <c r="B43">
        <f>(MAX(B40,0.01)*MAX(B41,0.01)*MAX(B42,0.01))^(1/3)</f>
        <v/>
      </c>
    </row>
    <row r="44">
      <c r="A44" t="inlineStr">
        <is>
          <t>aci_mod</t>
        </is>
      </c>
      <c r="B44">
        <f>1.1-0.525*B43</f>
        <v/>
      </c>
    </row>
    <row r="46">
      <c r="A46" t="inlineStr">
        <is>
          <t>ERS</t>
        </is>
      </c>
      <c r="B46">
        <f>MIN(10,MAX(1.5,1.5+8.5*(1-B30)*B38*B44))</f>
        <v/>
      </c>
    </row>
    <row r="48">
      <c r="A48" t="inlineStr">
        <is>
          <t>points-you-could-save (per safeguard)</t>
        </is>
      </c>
    </row>
    <row r="49">
      <c r="A49" t="inlineStr">
        <is>
          <t>s1</t>
        </is>
      </c>
      <c r="B49">
        <f>MAX(0,B46-MIN(10,MAX(1.5,1.5+8.5*(1-((0.25*((D2+D3+D4+MAX(D5,0.7))/4)+0.1*((D6+D7+D8+D9)/4)+0.15*((D10+D11+D12+D13)/4)+0.3*((D14+MAX(D15,0.65)+D16+D17)/4)+0.2*((D18+D19+MAX(D20,0.7)+D21+D22)/5))))*B38*B44)))</f>
        <v/>
      </c>
    </row>
    <row r="50">
      <c r="A50" t="inlineStr">
        <is>
          <t>s2</t>
        </is>
      </c>
      <c r="B50">
        <f>MAX(0,B46-MIN(10,MAX(1.5,1.5+8.5*(1-((0.25*((D2+D3+D4+D5)/4)+0.1*((D6+D7+D8+D9)/4)+0.15*((D10+D11+D12+D13)/4)+0.3*((MAX(D14,0.7)+D15+MAX(D16,0.65)+D17)/4)+0.2*((D18+D19+MAX(D20,0.7)+D21+D22)/5))))*B38*B44)))</f>
        <v/>
      </c>
    </row>
    <row r="51">
      <c r="A51" t="inlineStr">
        <is>
          <t>s3</t>
        </is>
      </c>
      <c r="B51">
        <f>MAX(0,B46-MIN(10,MAX(1.5,1.5+8.5*(1-((0.25*((MAX(D2,0.65)+D3+D4+D5)/4)+0.1*((D6+D7+D8+D9)/4)+0.15*((D10+MAX(D11,0.7)+D12+D13)/4)+0.3*((MAX(D14,0.6)+D15+D16+D17)/4)+0.2*((D18+D19+MAX(D20,0.75)+D21+D22)/5))))*B38*B44)))</f>
        <v/>
      </c>
    </row>
    <row r="52">
      <c r="A52" t="inlineStr">
        <is>
          <t>s4</t>
        </is>
      </c>
      <c r="B52">
        <f>MAX(0,B46-MIN(10,MAX(1.5,1.5+8.5*(1-((0.25*((MAX(D2,0.75)+D3+D4+D5)/4)+0.1*((D6+D7+D8+D9)/4)+0.15*((D10+D11+MAX(D12,0.65)+D13)/4)+0.3*((D14+D15+D16+D17)/4)+0.2*((D18+D19+D20+D21+D22)/5))))*B38*B44)))</f>
        <v/>
      </c>
    </row>
    <row r="53">
      <c r="A53" t="inlineStr">
        <is>
          <t>s5</t>
        </is>
      </c>
      <c r="B53">
        <f>MAX(0,B46-MIN(10,MAX(1.5,1.5+8.5*(1-((0.25*((MAX(D2,0.7)+D3+D4+MAX(D5,0.65))/4)+0.1*((D6+D7+D8+D9)/4)+0.15*((D10+D11+D12+D13)/4)+0.3*((D14+D15+D16+D17)/4)+0.2*((D18+D19+D20+D21+D22)/5))))*B38*B44)))</f>
        <v/>
      </c>
    </row>
    <row r="54">
      <c r="A54" t="inlineStr">
        <is>
          <t>s6</t>
        </is>
      </c>
      <c r="B54">
        <f>MAX(0,B46-MIN(10,MAX(1.5,1.5+8.5*(1-((0.25*((D2+D3+D4+MAX(D5,0.7))/4)+0.1*((D6+D7+D8+D9)/4)+0.15*((D10+D11+D12+MAX(D13,0.8))/4)+0.3*((D14+D15+MAX(D16,0.7)+D17)/4)+0.2*((MAX(D18,0.6)+D19+D20+D21+D22)/5))))*B38*B44)))</f>
        <v/>
      </c>
    </row>
    <row r="55">
      <c r="A55" t="inlineStr">
        <is>
          <t>s7</t>
        </is>
      </c>
      <c r="B55">
        <f>MAX(0,B46-MIN(10,MAX(1.5,1.5+8.5*(1-((0.25*((D2+D3+D4+D5)/4)+0.1*((D6+D7+D8+D9)/4)+0.15*((D10+D11+D12+D13)/4)+0.3*((D14+D15+D16+D17)/4)+0.2*((MAX(D18,0.7)+D19+MAX(D20,0.65)+MAX(D21,0.6)+D22)/5))))*B38*B44)))</f>
        <v/>
      </c>
    </row>
    <row r="56">
      <c r="A56" t="inlineStr">
        <is>
          <t>s8</t>
        </is>
      </c>
      <c r="B56">
        <f>MAX(0,B46-MIN(10,MAX(1.5,1.5+8.5*(1-((0.25*((D2+D3+MAX(D4,0.7)+MAX(D5,0.55))/4)+0.1*((D6+D7+D8+D9)/4)+0.15*((MAX(D10,0.6)+MAX(D11,0.75)+D12+D13)/4)+0.3*((D14+D15+D16+D17)/4)+0.2*((D18+D19+D20+D21+D22)/5))))*B38*B44)))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" customWidth="1" min="1" max="1"/>
    <col width="78" customWidth="1" min="2" max="2"/>
    <col width="10" customWidth="1" min="3" max="3"/>
    <col width="18" customWidth="1" min="4" max="4"/>
  </cols>
  <sheetData>
    <row r="1">
      <c r="A1" s="1" t="inlineStr">
        <is>
          <t>AITBM — Quick AI Risk Self-Assessment — Standalone LLM</t>
        </is>
      </c>
    </row>
    <row r="2" ht="42" customHeight="1">
      <c r="A2" s="2" t="inlineStr">
        <is>
          <t>Scenario: Standalone LLM. Answer Yes or No in column C; the Effective Risk Score (ERS) updates automatically. The Agentic / RAG / Standalone tabs each carry questions tailored to that architecture. Educational estimate; see the AITBM Framework Specification for assessments of record.</t>
        </is>
      </c>
    </row>
    <row r="4">
      <c r="A4" s="3" t="inlineStr">
        <is>
          <t>A</t>
        </is>
      </c>
      <c r="B4" s="3" t="inlineStr">
        <is>
          <t>About your system — A few questions about your standalone model or chatbot and how it is used.</t>
        </is>
      </c>
      <c r="C4" s="3" t="n"/>
      <c r="D4" s="3" t="n"/>
    </row>
    <row r="5" ht="28" customHeight="1">
      <c r="B5" s="4" t="inlineStr">
        <is>
          <t>Are the model's outputs used to drive decisions or actions automatically, without human review?</t>
        </is>
      </c>
      <c r="C5" s="5" t="inlineStr">
        <is>
          <t>No</t>
        </is>
      </c>
    </row>
    <row r="6" ht="28" customHeight="1">
      <c r="B6" s="4" t="inlineStr">
        <is>
          <t>Can the public or untrusted users send prompts or inputs to the model?</t>
        </is>
      </c>
      <c r="C6" s="5" t="inlineStr">
        <is>
          <t>No</t>
        </is>
      </c>
    </row>
    <row r="7" ht="28" customHeight="1">
      <c r="B7" s="4" t="inlineStr">
        <is>
          <t>Could a wrong output cause serious harm (financial, legal, safety, or many users)?</t>
        </is>
      </c>
      <c r="C7" s="5" t="inlineStr">
        <is>
          <t>No</t>
        </is>
      </c>
    </row>
    <row r="8" ht="28" customHeight="1">
      <c r="B8" s="4" t="inlineStr">
        <is>
          <t>Would fixing a discovered flaw be slow (retraining, fine-tuning, vendor dependency)?</t>
        </is>
      </c>
      <c r="C8" s="5" t="inlineStr">
        <is>
          <t>No</t>
        </is>
      </c>
    </row>
    <row r="10">
      <c r="A10" s="3" t="inlineStr">
        <is>
          <t>B</t>
        </is>
      </c>
      <c r="B10" s="3" t="inlineStr">
        <is>
          <t>Safeguards in place — Answer Yes only for protections you have actually implemented.</t>
        </is>
      </c>
      <c r="C10" s="3" t="n"/>
      <c r="D10" s="3" t="inlineStr">
        <is>
          <t>Points you could save</t>
        </is>
      </c>
    </row>
    <row r="11" ht="28" customHeight="1">
      <c r="B11" s="4" t="inlineStr">
        <is>
          <t>Have you adversarially trained and tested the model against manipulated inputs?</t>
        </is>
      </c>
      <c r="C11" s="5" t="inlineStr">
        <is>
          <t>No</t>
        </is>
      </c>
      <c r="D11" s="6">
        <f>IF('Standalone'!$C$11="Yes","",ROUND('Standalone Engine'!B49,1))</f>
        <v/>
      </c>
    </row>
    <row r="12" ht="28" customHeight="1">
      <c r="B12" s="4" t="inlineStr">
        <is>
          <t>Do you filter and validate both the inputs users send and the outputs the model returns?</t>
        </is>
      </c>
      <c r="C12" s="5" t="inlineStr">
        <is>
          <t>No</t>
        </is>
      </c>
      <c r="D12" s="6">
        <f>IF('Standalone'!$C$12="Yes","",ROUND('Standalone Engine'!B50,1))</f>
        <v/>
      </c>
    </row>
    <row r="13" ht="28" customHeight="1">
      <c r="B13" s="4" t="inlineStr">
        <is>
          <t>Do you have real-time detection for prompt injection and jailbreak attempts?</t>
        </is>
      </c>
      <c r="C13" s="5" t="inlineStr">
        <is>
          <t>No</t>
        </is>
      </c>
      <c r="D13" s="6">
        <f>IF('Standalone'!$C$13="Yes","",ROUND('Standalone Engine'!B51,1))</f>
        <v/>
      </c>
    </row>
    <row r="14" ht="28" customHeight="1">
      <c r="B14" s="4" t="inlineStr">
        <is>
          <t>Have you baselined the model's expected behavior/output consistency and documented it?</t>
        </is>
      </c>
      <c r="C14" s="5" t="inlineStr">
        <is>
          <t>No</t>
        </is>
      </c>
      <c r="D14" s="6">
        <f>IF('Standalone'!$C$14="Yes","",ROUND('Standalone Engine'!B52,1))</f>
        <v/>
      </c>
    </row>
    <row r="15" ht="28" customHeight="1">
      <c r="B15" s="4" t="inlineStr">
        <is>
          <t>Do you detect and block leakage of sensitive or personal data in outputs?</t>
        </is>
      </c>
      <c r="C15" s="5" t="inlineStr">
        <is>
          <t>No</t>
        </is>
      </c>
      <c r="D15" s="6">
        <f>IF('Standalone'!$C$15="Yes","",ROUND('Standalone Engine'!B53,1))</f>
        <v/>
      </c>
    </row>
    <row r="16" ht="28" customHeight="1">
      <c r="B16" s="4" t="inlineStr">
        <is>
          <t>Do you track where the model and its training data came from (lineage / AIBOM)?</t>
        </is>
      </c>
      <c r="C16" s="5" t="inlineStr">
        <is>
          <t>No</t>
        </is>
      </c>
      <c r="D16" s="6">
        <f>IF('Standalone'!$C$16="Yes","",ROUND('Standalone Engine'!B54,1))</f>
        <v/>
      </c>
    </row>
    <row r="17" ht="28" customHeight="1">
      <c r="B17" s="4" t="inlineStr">
        <is>
          <t>Do you monitor for model drift and anomalies in production?</t>
        </is>
      </c>
      <c r="C17" s="5" t="inlineStr">
        <is>
          <t>No</t>
        </is>
      </c>
      <c r="D17" s="6">
        <f>IF('Standalone'!$C$17="Yes","",ROUND('Standalone Engine'!B55,1))</f>
        <v/>
      </c>
    </row>
    <row r="18" ht="28" customHeight="1">
      <c r="B18" s="4" t="inlineStr">
        <is>
          <t>Is the model's runtime isolated and granted only least-access to surrounding systems?</t>
        </is>
      </c>
      <c r="C18" s="5" t="inlineStr">
        <is>
          <t>No</t>
        </is>
      </c>
      <c r="D18" s="6">
        <f>IF('Standalone'!$C$18="Yes","",ROUND('Standalone Engine'!B56,1))</f>
        <v/>
      </c>
    </row>
    <row r="20">
      <c r="A20" s="3" t="inlineStr">
        <is>
          <t>C</t>
        </is>
      </c>
      <c r="B20" s="3" t="inlineStr">
        <is>
          <t>Evidence &amp; assurance — How well the system's security is documented and tested.</t>
        </is>
      </c>
      <c r="C20" s="3" t="n"/>
      <c r="D20" s="3" t="n"/>
    </row>
    <row r="21" ht="28" customHeight="1">
      <c r="B21" s="4" t="inlineStr">
        <is>
          <t>Do you have a model card / AIBOM documenting the model and its training-data provenance?</t>
        </is>
      </c>
      <c r="C21" s="5" t="inlineStr">
        <is>
          <t>No</t>
        </is>
      </c>
    </row>
    <row r="22" ht="28" customHeight="1">
      <c r="B22" s="4" t="inlineStr">
        <is>
          <t>Have you security-tested the model (adversarial inputs, jailbreaks, data extraction)?</t>
        </is>
      </c>
      <c r="C22" s="5" t="inlineStr">
        <is>
          <t>No</t>
        </is>
      </c>
    </row>
    <row r="23" ht="28" customHeight="1">
      <c r="B23" s="4" t="inlineStr">
        <is>
          <t>Was that testing recent (within ~12 months) and kept current with model updates?</t>
        </is>
      </c>
      <c r="C23" s="5" t="inlineStr">
        <is>
          <t>No</t>
        </is>
      </c>
    </row>
    <row r="26">
      <c r="A26" s="3" t="inlineStr">
        <is>
          <t>RESULT</t>
        </is>
      </c>
      <c r="B26" s="3" t="n"/>
      <c r="C26" s="3" t="n"/>
      <c r="D26" s="3" t="n"/>
    </row>
    <row r="27">
      <c r="B27" s="7" t="inlineStr">
        <is>
          <t>Effective Risk Score (ERS)</t>
        </is>
      </c>
      <c r="C27" s="8">
        <f>ROUND('Standalone Engine'!B46,1)</f>
        <v/>
      </c>
    </row>
    <row r="28">
      <c r="B28" s="9" t="inlineStr">
        <is>
          <t>Severity</t>
        </is>
      </c>
      <c r="C28">
        <f>IF('Standalone Engine'!B46&gt;=9,"Critical",IF('Standalone Engine'!B46&gt;=7,"High",IF('Standalone Engine'!B46&gt;=5,"Moderate",IF('Standalone Engine'!B46&gt;=3,"Low-Moderate","Low"))))</f>
        <v/>
      </c>
    </row>
    <row r="29">
      <c r="B29" s="9" t="inlineStr">
        <is>
          <t>Scenario</t>
        </is>
      </c>
      <c r="C29" s="10" t="inlineStr">
        <is>
          <t>Standalone LLM</t>
        </is>
      </c>
    </row>
  </sheetData>
  <mergeCells count="2">
    <mergeCell ref="A1:D1"/>
    <mergeCell ref="A2:D2"/>
  </mergeCells>
  <dataValidations count="1">
    <dataValidation sqref="C5 C6 C7 C8 C11 C12 C13 C14 C15 C16 C17 C18 C21 C22 C23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axis</t>
        </is>
      </c>
      <c r="C1" t="inlineStr">
        <is>
          <t>base</t>
        </is>
      </c>
      <c r="D1" t="inlineStr">
        <is>
          <t>value</t>
        </is>
      </c>
    </row>
    <row r="2">
      <c r="A2" t="inlineStr">
        <is>
          <t>Ro-1</t>
        </is>
      </c>
      <c r="B2" t="inlineStr">
        <is>
          <t>Ro</t>
        </is>
      </c>
      <c r="C2" t="n">
        <v>0.2</v>
      </c>
      <c r="D2">
        <f>MAX(C2,IF('Standalone'!$C$11="Yes",0.7,0),IF('Standalone'!$C$12="Yes",0.65,0),IF('Standalone'!$C$13="Yes",0.75,0))</f>
        <v/>
      </c>
    </row>
    <row r="3">
      <c r="A3" t="inlineStr">
        <is>
          <t>Ro-2</t>
        </is>
      </c>
      <c r="B3" t="inlineStr">
        <is>
          <t>Ro</t>
        </is>
      </c>
      <c r="C3" t="n">
        <v>0.5</v>
      </c>
      <c r="D3">
        <f>MAX(C3)</f>
        <v/>
      </c>
    </row>
    <row r="4">
      <c r="A4" t="inlineStr">
        <is>
          <t>Ro-3</t>
        </is>
      </c>
      <c r="B4" t="inlineStr">
        <is>
          <t>Ro</t>
        </is>
      </c>
      <c r="C4" t="n">
        <v>0.25</v>
      </c>
      <c r="D4">
        <f>MAX(C4,IF('Standalone'!$C$14="Yes",0.7,0),IF('Standalone'!$C$17="Yes",0.65,0))</f>
        <v/>
      </c>
    </row>
    <row r="5">
      <c r="A5" t="inlineStr">
        <is>
          <t>Ro-4</t>
        </is>
      </c>
      <c r="B5" t="inlineStr">
        <is>
          <t>Ro</t>
        </is>
      </c>
      <c r="C5" t="n">
        <v>0.15</v>
      </c>
      <c r="D5">
        <f>MAX(C5,IF('Standalone'!$C$11="Yes",0.65,0),IF('Standalone'!$C$16="Yes",0.7,0),IF('Standalone'!$C$17="Yes",0.55,0))</f>
        <v/>
      </c>
    </row>
    <row r="6">
      <c r="A6" t="inlineStr">
        <is>
          <t>Fa-1</t>
        </is>
      </c>
      <c r="B6" t="inlineStr">
        <is>
          <t>Fa</t>
        </is>
      </c>
      <c r="C6" t="n">
        <v>0.5</v>
      </c>
      <c r="D6">
        <f>MAX(C6)</f>
        <v/>
      </c>
    </row>
    <row r="7">
      <c r="A7" t="inlineStr">
        <is>
          <t>Fa-2</t>
        </is>
      </c>
      <c r="B7" t="inlineStr">
        <is>
          <t>Fa</t>
        </is>
      </c>
      <c r="C7" t="n">
        <v>0.5</v>
      </c>
      <c r="D7">
        <f>MAX(C7)</f>
        <v/>
      </c>
    </row>
    <row r="8">
      <c r="A8" t="inlineStr">
        <is>
          <t>Fa-3</t>
        </is>
      </c>
      <c r="B8" t="inlineStr">
        <is>
          <t>Fa</t>
        </is>
      </c>
      <c r="C8" t="n">
        <v>0.5</v>
      </c>
      <c r="D8">
        <f>MAX(C8)</f>
        <v/>
      </c>
    </row>
    <row r="9">
      <c r="A9" t="inlineStr">
        <is>
          <t>Fa-4</t>
        </is>
      </c>
      <c r="B9" t="inlineStr">
        <is>
          <t>Fa</t>
        </is>
      </c>
      <c r="C9" t="n">
        <v>0.5</v>
      </c>
      <c r="D9">
        <f>MAX(C9)</f>
        <v/>
      </c>
    </row>
    <row r="10">
      <c r="A10" t="inlineStr">
        <is>
          <t>Tr-1</t>
        </is>
      </c>
      <c r="B10" t="inlineStr">
        <is>
          <t>Tr</t>
        </is>
      </c>
      <c r="C10" t="n">
        <v>0.5</v>
      </c>
      <c r="D10">
        <f>MAX(C10,IF('Standalone'!$C$14="Yes",0.6,0))</f>
        <v/>
      </c>
    </row>
    <row r="11">
      <c r="A11" t="inlineStr">
        <is>
          <t>Tr-2</t>
        </is>
      </c>
      <c r="B11" t="inlineStr">
        <is>
          <t>Tr</t>
        </is>
      </c>
      <c r="C11" t="n">
        <v>0.3</v>
      </c>
      <c r="D11">
        <f>MAX(C11,IF('Standalone'!$C$12="Yes",0.7,0),IF('Standalone'!$C$14="Yes",0.75,0),IF('Standalone'!$C$17="Yes",0.6,0))</f>
        <v/>
      </c>
    </row>
    <row r="12">
      <c r="A12" t="inlineStr">
        <is>
          <t>Tr-3</t>
        </is>
      </c>
      <c r="B12" t="inlineStr">
        <is>
          <t>Tr</t>
        </is>
      </c>
      <c r="C12" t="n">
        <v>0.4</v>
      </c>
      <c r="D12">
        <f>MAX(C12,IF('Standalone'!$C$13="Yes",0.65,0))</f>
        <v/>
      </c>
    </row>
    <row r="13">
      <c r="A13" t="inlineStr">
        <is>
          <t>Tr-4</t>
        </is>
      </c>
      <c r="B13" t="inlineStr">
        <is>
          <t>Tr</t>
        </is>
      </c>
      <c r="C13" t="n">
        <v>0</v>
      </c>
      <c r="D13">
        <f>MAX(C13,IF('Standalone'!$C$16="Yes",0.8,0))</f>
        <v/>
      </c>
    </row>
    <row r="14">
      <c r="A14" t="inlineStr">
        <is>
          <t>Pr-1</t>
        </is>
      </c>
      <c r="B14" t="inlineStr">
        <is>
          <t>Pr</t>
        </is>
      </c>
      <c r="C14" t="n">
        <v>0.25</v>
      </c>
      <c r="D14">
        <f>MAX(C14,IF('Standalone'!$C$12="Yes",0.6,0),IF('Standalone'!$C$15="Yes",0.7,0))</f>
        <v/>
      </c>
    </row>
    <row r="15">
      <c r="A15" t="inlineStr">
        <is>
          <t>Pr-2</t>
        </is>
      </c>
      <c r="B15" t="inlineStr">
        <is>
          <t>Pr</t>
        </is>
      </c>
      <c r="C15" t="n">
        <v>0.3</v>
      </c>
      <c r="D15">
        <f>MAX(C15)</f>
        <v/>
      </c>
    </row>
    <row r="16">
      <c r="A16" t="inlineStr">
        <is>
          <t>Pr-3</t>
        </is>
      </c>
      <c r="B16" t="inlineStr">
        <is>
          <t>Pr</t>
        </is>
      </c>
      <c r="C16" t="n">
        <v>0.3</v>
      </c>
      <c r="D16">
        <f>MAX(C16,IF('Standalone'!$C$15="Yes",0.65,0),IF('Standalone'!$C$16="Yes",0.7,0))</f>
        <v/>
      </c>
    </row>
    <row r="17">
      <c r="A17" t="inlineStr">
        <is>
          <t>Pr-4</t>
        </is>
      </c>
      <c r="B17" t="inlineStr">
        <is>
          <t>Pr</t>
        </is>
      </c>
      <c r="C17" t="n">
        <v>0.5</v>
      </c>
      <c r="D17">
        <f>MAX(C17)</f>
        <v/>
      </c>
    </row>
    <row r="18">
      <c r="A18" t="inlineStr">
        <is>
          <t>Cn-1</t>
        </is>
      </c>
      <c r="B18" t="inlineStr">
        <is>
          <t>Cn</t>
        </is>
      </c>
      <c r="C18" t="n">
        <v>0.1</v>
      </c>
      <c r="D18">
        <f>MAX(C18,IF('Standalone'!$C$16="Yes",0.6,0),IF('Standalone'!$C$18="Yes",0.7,0))</f>
        <v/>
      </c>
    </row>
    <row r="19">
      <c r="A19" t="inlineStr">
        <is>
          <t>Cn-2</t>
        </is>
      </c>
      <c r="B19" t="inlineStr">
        <is>
          <t>Cn</t>
        </is>
      </c>
      <c r="C19" t="n">
        <v>0.15</v>
      </c>
      <c r="D19">
        <f>MAX(C19)</f>
        <v/>
      </c>
    </row>
    <row r="20">
      <c r="A20" t="inlineStr">
        <is>
          <t>Cn-3</t>
        </is>
      </c>
      <c r="B20" t="inlineStr">
        <is>
          <t>Cn</t>
        </is>
      </c>
      <c r="C20" t="n">
        <v>0.1</v>
      </c>
      <c r="D20">
        <f>MAX(C20,IF('Standalone'!$C$12="Yes",0.75,0),IF('Standalone'!$C$15="Yes",0.7,0),IF('Standalone'!$C$18="Yes",0.65,0))</f>
        <v/>
      </c>
    </row>
    <row r="21">
      <c r="A21" t="inlineStr">
        <is>
          <t>Cn-4</t>
        </is>
      </c>
      <c r="B21" t="inlineStr">
        <is>
          <t>Cn</t>
        </is>
      </c>
      <c r="C21" t="n">
        <v>0.2</v>
      </c>
      <c r="D21">
        <f>MAX(C21,IF('Standalone'!$C$18="Yes",0.6,0))</f>
        <v/>
      </c>
    </row>
    <row r="22">
      <c r="A22" t="inlineStr">
        <is>
          <t>Cn-5</t>
        </is>
      </c>
      <c r="B22" t="inlineStr">
        <is>
          <t>Cn</t>
        </is>
      </c>
      <c r="C22" t="n">
        <v>0.2</v>
      </c>
      <c r="D22">
        <f>MAX(C22)</f>
        <v/>
      </c>
    </row>
    <row r="23">
      <c r="A23" t="inlineStr">
        <is>
          <t>axis averages</t>
        </is>
      </c>
    </row>
    <row r="24">
      <c r="A24" t="inlineStr">
        <is>
          <t>Ro</t>
        </is>
      </c>
      <c r="B24">
        <f>AVERAGE(D2:D5)</f>
        <v/>
      </c>
    </row>
    <row r="25">
      <c r="A25" t="inlineStr">
        <is>
          <t>Fa</t>
        </is>
      </c>
      <c r="B25">
        <f>AVERAGE(D6:D9)</f>
        <v/>
      </c>
    </row>
    <row r="26">
      <c r="A26" t="inlineStr">
        <is>
          <t>Tr</t>
        </is>
      </c>
      <c r="B26">
        <f>AVERAGE(D10:D13)</f>
        <v/>
      </c>
    </row>
    <row r="27">
      <c r="A27" t="inlineStr">
        <is>
          <t>Pr</t>
        </is>
      </c>
      <c r="B27">
        <f>AVERAGE(D14:D17)</f>
        <v/>
      </c>
    </row>
    <row r="28">
      <c r="A28" t="inlineStr">
        <is>
          <t>Cn</t>
        </is>
      </c>
      <c r="B28">
        <f>AVERAGE(D18:D22)</f>
        <v/>
      </c>
    </row>
    <row r="30">
      <c r="A30" t="inlineStr">
        <is>
          <t>IVP</t>
        </is>
      </c>
      <c r="B30">
        <f>0.25*B24+0.2*B25+0.2*B26+0.2*B27+0.15*B28</f>
        <v/>
      </c>
    </row>
    <row r="32">
      <c r="A32" t="inlineStr">
        <is>
          <t>aa</t>
        </is>
      </c>
      <c r="B32">
        <f>IF('Standalone'!$C$5="Yes",0.85,0.3)</f>
        <v/>
      </c>
    </row>
    <row r="33">
      <c r="A33" t="inlineStr">
        <is>
          <t>as</t>
        </is>
      </c>
      <c r="B33">
        <f>IF('Standalone'!$C$6="Yes",0.85,0.3)</f>
        <v/>
      </c>
    </row>
    <row r="34">
      <c r="A34" t="inlineStr">
        <is>
          <t>cp</t>
        </is>
      </c>
      <c r="B34">
        <f>IF('Standalone'!$C$7="Yes",0.85,0.3)</f>
        <v/>
      </c>
    </row>
    <row r="35">
      <c r="A35" t="inlineStr">
        <is>
          <t>rf</t>
        </is>
      </c>
      <c r="B35">
        <f>IF('Standalone'!$C$8="Yes",0.85,0.3)</f>
        <v/>
      </c>
    </row>
    <row r="36">
      <c r="A36" t="inlineStr">
        <is>
          <t>orp_avg</t>
        </is>
      </c>
      <c r="B36">
        <f>AVERAGE(B32:B35)</f>
        <v/>
      </c>
    </row>
    <row r="37">
      <c r="A37" t="inlineStr">
        <is>
          <t>n_elev</t>
        </is>
      </c>
      <c r="B37">
        <f>(IF(B32&gt;0.75,1,0)+IF(B33&gt;0.75,1,0)+IF(B34&gt;0.75,1,0)+IF(B35&gt;0.75,1,0))</f>
        <v/>
      </c>
    </row>
    <row r="38">
      <c r="A38" t="inlineStr">
        <is>
          <t>CRM</t>
        </is>
      </c>
      <c r="B38">
        <f>MIN(1.75,MAX(0.75,-0.129+1.882*B36+0.05*B37))</f>
        <v/>
      </c>
    </row>
    <row r="40">
      <c r="A40" t="inlineStr">
        <is>
          <t>pc</t>
        </is>
      </c>
      <c r="B40">
        <f>IF('Standalone'!$C$21="Yes",0.8,0.2)</f>
        <v/>
      </c>
    </row>
    <row r="41">
      <c r="A41" t="inlineStr">
        <is>
          <t>ec</t>
        </is>
      </c>
      <c r="B41">
        <f>IF('Standalone'!$C$22="Yes",0.8,0.2)</f>
        <v/>
      </c>
    </row>
    <row r="42">
      <c r="A42" t="inlineStr">
        <is>
          <t>tf</t>
        </is>
      </c>
      <c r="B42">
        <f>IF('Standalone'!$C$22="Yes",IF('Standalone'!$C$23="Yes",0.8,0.25),0.2)</f>
        <v/>
      </c>
    </row>
    <row r="43">
      <c r="A43" t="inlineStr">
        <is>
          <t>ACI</t>
        </is>
      </c>
      <c r="B43">
        <f>(MAX(B40,0.01)*MAX(B41,0.01)*MAX(B42,0.01))^(1/3)</f>
        <v/>
      </c>
    </row>
    <row r="44">
      <c r="A44" t="inlineStr">
        <is>
          <t>aci_mod</t>
        </is>
      </c>
      <c r="B44">
        <f>1.1-0.525*B43</f>
        <v/>
      </c>
    </row>
    <row r="46">
      <c r="A46" t="inlineStr">
        <is>
          <t>ERS</t>
        </is>
      </c>
      <c r="B46">
        <f>MIN(10,MAX(1.5,1.5+8.5*(1-B30)*B38*B44))</f>
        <v/>
      </c>
    </row>
    <row r="48">
      <c r="A48" t="inlineStr">
        <is>
          <t>points-you-could-save (per safeguard)</t>
        </is>
      </c>
    </row>
    <row r="49">
      <c r="A49" t="inlineStr">
        <is>
          <t>s1</t>
        </is>
      </c>
      <c r="B49">
        <f>MAX(0,B46-MIN(10,MAX(1.5,1.5+8.5*(1-((0.25*((MAX(D2,0.7)+D3+D4+MAX(D5,0.65))/4)+0.2*((D6+D7+D8+D9)/4)+0.2*((D10+D11+D12+D13)/4)+0.2*((D14+D15+D16+D17)/4)+0.15*((D18+D19+D20+D21+D22)/5))))*B38*B44)))</f>
        <v/>
      </c>
    </row>
    <row r="50">
      <c r="A50" t="inlineStr">
        <is>
          <t>s2</t>
        </is>
      </c>
      <c r="B50">
        <f>MAX(0,B46-MIN(10,MAX(1.5,1.5+8.5*(1-((0.25*((MAX(D2,0.65)+D3+D4+D5)/4)+0.2*((D6+D7+D8+D9)/4)+0.2*((D10+MAX(D11,0.7)+D12+D13)/4)+0.2*((MAX(D14,0.6)+D15+D16+D17)/4)+0.15*((D18+D19+MAX(D20,0.75)+D21+D22)/5))))*B38*B44)))</f>
        <v/>
      </c>
    </row>
    <row r="51">
      <c r="A51" t="inlineStr">
        <is>
          <t>s3</t>
        </is>
      </c>
      <c r="B51">
        <f>MAX(0,B46-MIN(10,MAX(1.5,1.5+8.5*(1-((0.25*((MAX(D2,0.75)+D3+D4+D5)/4)+0.2*((D6+D7+D8+D9)/4)+0.2*((D10+D11+MAX(D12,0.65)+D13)/4)+0.2*((D14+D15+D16+D17)/4)+0.15*((D18+D19+D20+D21+D22)/5))))*B38*B44)))</f>
        <v/>
      </c>
    </row>
    <row r="52">
      <c r="A52" t="inlineStr">
        <is>
          <t>s4</t>
        </is>
      </c>
      <c r="B52">
        <f>MAX(0,B46-MIN(10,MAX(1.5,1.5+8.5*(1-((0.25*((D2+D3+MAX(D4,0.7)+D5)/4)+0.2*((D6+D7+D8+D9)/4)+0.2*((MAX(D10,0.6)+MAX(D11,0.75)+D12+D13)/4)+0.2*((D14+D15+D16+D17)/4)+0.15*((D18+D19+D20+D21+D22)/5))))*B38*B44)))</f>
        <v/>
      </c>
    </row>
    <row r="53">
      <c r="A53" t="inlineStr">
        <is>
          <t>s5</t>
        </is>
      </c>
      <c r="B53">
        <f>MAX(0,B46-MIN(10,MAX(1.5,1.5+8.5*(1-((0.25*((D2+D3+D4+D5)/4)+0.2*((D6+D7+D8+D9)/4)+0.2*((D10+D11+D12+D13)/4)+0.2*((MAX(D14,0.7)+D15+MAX(D16,0.65)+D17)/4)+0.15*((D18+D19+MAX(D20,0.7)+D21+D22)/5))))*B38*B44)))</f>
        <v/>
      </c>
    </row>
    <row r="54">
      <c r="A54" t="inlineStr">
        <is>
          <t>s6</t>
        </is>
      </c>
      <c r="B54">
        <f>MAX(0,B46-MIN(10,MAX(1.5,1.5+8.5*(1-((0.25*((D2+D3+D4+MAX(D5,0.7))/4)+0.2*((D6+D7+D8+D9)/4)+0.2*((D10+D11+D12+MAX(D13,0.8))/4)+0.2*((D14+D15+MAX(D16,0.7)+D17)/4)+0.15*((MAX(D18,0.6)+D19+D20+D21+D22)/5))))*B38*B44)))</f>
        <v/>
      </c>
    </row>
    <row r="55">
      <c r="A55" t="inlineStr">
        <is>
          <t>s7</t>
        </is>
      </c>
      <c r="B55">
        <f>MAX(0,B46-MIN(10,MAX(1.5,1.5+8.5*(1-((0.25*((D2+D3+MAX(D4,0.65)+MAX(D5,0.55))/4)+0.2*((D6+D7+D8+D9)/4)+0.2*((D10+MAX(D11,0.6)+D12+D13)/4)+0.2*((D14+D15+D16+D17)/4)+0.15*((D18+D19+D20+D21+D22)/5))))*B38*B44)))</f>
        <v/>
      </c>
    </row>
    <row r="56">
      <c r="A56" t="inlineStr">
        <is>
          <t>s8</t>
        </is>
      </c>
      <c r="B56">
        <f>MAX(0,B46-MIN(10,MAX(1.5,1.5+8.5*(1-((0.25*((D2+D3+D4+D5)/4)+0.2*((D6+D7+D8+D9)/4)+0.2*((D10+D11+D12+D13)/4)+0.2*((D14+D15+D16+D17)/4)+0.15*((MAX(D18,0.7)+D19+MAX(D20,0.65)+MAX(D21,0.6)+D22)/5))))*B38*B44)))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2026-06-24T15:23:46Z</dcterms:created>
  <dcterms:modified xmlns:dcterms="http://purl.org/dc/terms/" xmlns:xsi="http://www.w3.org/2001/XMLSchema-instance" xsi:type="dcterms:W3CDTF">2026-06-24T15:23:46Z</dcterms:modified>
</cp:coreProperties>
</file>